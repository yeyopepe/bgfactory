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<sst xmlns="http://schemas.openxmlformats.org/spreadsheetml/2006/main" count="502" uniqueCount="193">
  <si>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</si>
  <si>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</si>
  <si>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</si>
  <si>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</si>
  <si>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</si>
  <si>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</si>
  <si>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</si>
  <si>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</si>
  <si>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</si>
  <si>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</si>
  <si>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</si>
  <si>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</si>
  <si>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</si>
  <si>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</si>
  <si>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</si>
  <si>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</si>
  <si>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</si>
  <si>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</si>
  <si>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Tacha 1 casilla de saqueo si es posible en cada enclave en el que haya un jugador</t>
  </si>
  <si>
    <t>Prisas</t>
  </si>
  <si>
    <t>Descarta el objeto de tu mochila que esté más cerca de la esquina inferior derecha</t>
  </si>
  <si>
    <t>4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</si>
  <si>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</si>
  <si>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</si>
  <si>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</si>
  <si>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</si>
  <si>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</si>
  <si>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</si>
  <si>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</si>
  <si>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</si>
  <si>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</si>
  <si>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</si>
  <si>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</si>
  <si>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</si>
  <si>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</si>
  <si>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Efectos en todos los enclave principal en el que haya jugadores, según nivel de asentamiento. Este turno no puedes moverte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</si>
  <si>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</si>
  <si>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</si>
  <si>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</si>
  <si>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</si>
  <si>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</si>
  <si>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</si>
  <si>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</si>
  <si>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</si>
  <si>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</si>
  <si>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</si>
  <si>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</si>
  <si>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</si>
  <si>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</si>
  <si>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</si>
  <si>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</si>
  <si>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</si>
  <si>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</si>
  <si>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</si>
  <si>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</si>
  <si>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</si>
  <si>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</si>
  <si>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</si>
  <si>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</si>
  <si>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</si>
  <si>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</si>
  <si>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</si>
  <si>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</si>
  <si>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</si>
  <si>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</si>
  <si>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</si>
  <si>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</si>
  <si>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</si>
  <si>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</si>
  <si>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</si>
  <si>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</si>
  <si>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</si>
  <si>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</si>
  <si>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</si>
  <si>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</si>
  <si>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</si>
  <si>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</si>
  <si>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</si>
  <si>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</si>
  <si>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</si>
  <si>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</si>
  <si>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</si>
  <si>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</si>
  <si>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</si>
  <si>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</si>
  <si>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</si>
  <si>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</si>
  <si>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</si>
  <si>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</si>
  <si>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</si>
  <si>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</si>
  <si>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</si>
  <si>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</si>
  <si>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</si>
  <si>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</si>
  <si>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</si>
  <si>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</si>
  <si>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</si>
  <si>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</si>
  <si>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</si>
  <si>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</si>
  <si>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</si>
  <si>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</si>
  <si>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</si>
  <si>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</si>
  <si>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</si>
  <si>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</si>
  <si>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</si>
  <si>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</si>
  <si>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</si>
  <si>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</si>
  <si>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</si>
  <si>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</si>
  <si>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</si>
  <si>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</si>
  <si>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</si>
  <si>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</si>
  <si>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</si>
  <si>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</si>
  <si>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</si>
  <si>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</si>
  <si>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</si>
  <si>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</si>
  <si>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</si>
  <si>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</si>
  <si>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</si>
  <si>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</si>
  <si>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Paso de montaña</t>
  </si>
  <si>
    <t>Zona boscosa</t>
  </si>
  <si>
    <t>Antiguo enclave minero</t>
  </si>
  <si>
    <t>Cueva</t>
  </si>
  <si>
    <t>Ruta de alta montaña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</si>
  <si>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</si>
  <si>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</si>
  <si>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</si>
  <si>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</si>
  <si>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</si>
  <si>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</si>
  <si>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</si>
  <si>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</si>
  <si>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</si>
  <si>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</si>
  <si>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</si>
  <si>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Presa hidroeléctrica</t>
  </si>
  <si>
    <t>Herramientas mecánicas</t>
  </si>
  <si>
    <r>
      <rPr>
        <b/>
        <i/>
      </rPr>
      <t>Confirmado</t>
    </r>
  </si>
  <si>
    <r>
      <rPr>
        <b/>
        <i/>
      </rPr>
      <t>Nombre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</si>
  <si>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</si>
  <si>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</si>
  <si>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</si>
  <si>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</si>
  <si>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</si>
  <si>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</si>
  <si>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</si>
  <si>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 xml:space="preserve"> </t>
    </r>
  </si>
  <si>
    <r>
      <rPr>
        <b/>
        <i/>
      </rPr>
      <t>0 (en dado de búsqueda)</t>
    </r>
  </si>
  <si>
    <r>
      <t>S</t>
    </r>
  </si>
  <si>
    <r>
      <rPr>
        <b/>
        <i/>
      </rPr>
      <t>Vendas</t>
    </r>
  </si>
  <si>
    <r>
      <rPr>
        <b/>
        <i/>
      </rPr>
      <t>3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</si>
  <si>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</si>
  <si>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</si>
  <si>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</si>
  <si>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S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</si>
  <si>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</si>
  <si>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</si>
  <si>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4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</si>
  <si>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</si>
  <si>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</si>
  <si>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</si>
  <si>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</si>
  <si>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</si>
  <si>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</si>
  <si>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</si>
  <si>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</si>
  <si>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</si>
  <si>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5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</si>
  <si>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</si>
  <si>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</si>
  <si>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</si>
  <si>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2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</si>
  <si>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</si>
  <si>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</si>
  <si>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Saco de dormir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</si>
  <si>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</si>
  <si>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</si>
  <si>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Caña de pescar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</si>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</sst>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7" x14ac:dyDescent="0.25">
      <c r="A3" s="1" t="s">
        <v>8</v>
      </c>
      <c r="B3" t="s">
        <v>16</v>
      </c>
      <c r="C3" s="4" t="s">
        <v>17</v>
      </c>
      <c r="D3" s="1"/>
      <c r="E3" s="1" t="s">
        <v>12</v>
      </c>
      <c r="F3" s="4" t="s">
        <v>13</v>
      </c>
      <c r="G3" s="5" t="s">
        <v>18</v>
      </c>
    </row>
    <row r="4" ht="22.5" customHeight="1" spans="1:7" x14ac:dyDescent="0.25">
      <c r="A4" s="1" t="s">
        <v>8</v>
      </c>
      <c r="C4" s="4" t="s">
        <v>19</v>
      </c>
      <c r="D4" s="1"/>
      <c r="E4" s="1">
        <v>1</v>
      </c>
      <c r="F4" s="4" t="s">
        <v>13</v>
      </c>
      <c r="G4" s="5" t="s">
        <v>20</v>
      </c>
    </row>
    <row r="5" ht="22.5" customHeight="1" spans="1:7" x14ac:dyDescent="0.25">
      <c r="A5" s="1" t="s">
        <v>8</v>
      </c>
      <c r="B5" t="s">
        <v>21</v>
      </c>
      <c r="C5" s="4" t="s">
        <v>19</v>
      </c>
      <c r="D5" s="1"/>
      <c r="E5" s="1">
        <v>1</v>
      </c>
      <c r="F5" s="4" t="s">
        <v>13</v>
      </c>
      <c r="G5" s="5" t="s">
        <v>22</v>
      </c>
    </row>
    <row r="6" ht="22.5" customHeight="1" spans="1:7" x14ac:dyDescent="0.25">
      <c r="A6" s="1" t="s">
        <v>8</v>
      </c>
      <c r="B6" t="s">
        <v>23</v>
      </c>
      <c r="C6" s="4" t="s">
        <v>24</v>
      </c>
      <c r="D6" s="1"/>
      <c r="E6" s="1">
        <v>1</v>
      </c>
      <c r="F6" s="4" t="s">
        <v>25</v>
      </c>
      <c r="G6" s="5" t="s">
        <v>26</v>
      </c>
    </row>
    <row r="7" ht="22.5" customHeight="1" spans="1:7" x14ac:dyDescent="0.25">
      <c r="A7" s="1" t="s">
        <v>8</v>
      </c>
      <c r="B7" t="s">
        <v>27</v>
      </c>
      <c r="C7" s="4" t="s">
        <v>28</v>
      </c>
      <c r="D7" s="1"/>
      <c r="E7" s="1">
        <v>1</v>
      </c>
      <c r="F7" s="4" t="s">
        <v>25</v>
      </c>
      <c r="G7" s="5" t="s">
        <v>29</v>
      </c>
    </row>
    <row r="8" ht="22.5" customHeight="1" spans="1:7" x14ac:dyDescent="0.25">
      <c r="A8" s="1" t="s">
        <v>8</v>
      </c>
      <c r="B8" t="s">
        <v>30</v>
      </c>
      <c r="C8" s="4" t="s">
        <v>31</v>
      </c>
      <c r="D8" s="1"/>
      <c r="E8" s="1">
        <v>1</v>
      </c>
      <c r="F8" s="4" t="s">
        <v>13</v>
      </c>
      <c r="G8" s="5" t="s">
        <v>32</v>
      </c>
    </row>
    <row r="9" ht="22.5" customHeight="1" spans="1:7" x14ac:dyDescent="0.25">
      <c r="A9" s="1" t="s">
        <v>8</v>
      </c>
      <c r="B9" t="s">
        <v>33</v>
      </c>
      <c r="C9" s="4" t="s">
        <v>34</v>
      </c>
      <c r="D9" s="1"/>
      <c r="E9" s="1" t="s">
        <v>12</v>
      </c>
      <c r="F9" s="4" t="s">
        <v>13</v>
      </c>
      <c r="G9" s="5" t="s">
        <v>35</v>
      </c>
    </row>
    <row r="10" ht="22.5" customHeight="1" spans="1:7" x14ac:dyDescent="0.25">
      <c r="A10" s="1" t="s">
        <v>8</v>
      </c>
      <c r="B10" t="s">
        <v>36</v>
      </c>
      <c r="C10" s="4" t="s">
        <v>37</v>
      </c>
      <c r="D10" s="1"/>
      <c r="E10" s="1">
        <v>1</v>
      </c>
      <c r="F10" s="4" t="s">
        <v>25</v>
      </c>
      <c r="G10" s="5" t="s">
        <v>38</v>
      </c>
    </row>
    <row r="11" ht="22.5" customHeight="1" spans="1:7" x14ac:dyDescent="0.25">
      <c r="A11" s="1" t="s">
        <v>8</v>
      </c>
      <c r="B11" t="s">
        <v>39</v>
      </c>
      <c r="C11" s="4" t="s">
        <v>40</v>
      </c>
      <c r="D11" s="1"/>
      <c r="E11" s="1">
        <v>1</v>
      </c>
      <c r="F11" s="4" t="s">
        <v>25</v>
      </c>
      <c r="G11" s="5" t="s">
        <v>41</v>
      </c>
    </row>
    <row r="12" ht="22.5" customHeight="1" spans="1:7" x14ac:dyDescent="0.25">
      <c r="A12" s="1" t="s">
        <v>8</v>
      </c>
      <c r="B12" t="s">
        <v>42</v>
      </c>
      <c r="C12" s="4" t="s">
        <v>43</v>
      </c>
      <c r="D12" s="1"/>
      <c r="E12" s="1" t="s">
        <v>12</v>
      </c>
      <c r="F12" s="4" t="s">
        <v>13</v>
      </c>
      <c r="G12" s="5" t="s">
        <v>44</v>
      </c>
    </row>
    <row r="13" ht="22.5" customHeight="1" spans="1:7" x14ac:dyDescent="0.25">
      <c r="A13" s="1" t="s">
        <v>8</v>
      </c>
      <c r="B13" t="s">
        <v>45</v>
      </c>
      <c r="C13" s="4" t="s">
        <v>46</v>
      </c>
      <c r="D13" s="1"/>
      <c r="E13" s="1">
        <v>1</v>
      </c>
      <c r="F13" s="4" t="s">
        <v>13</v>
      </c>
      <c r="G13" s="5" t="s">
        <v>47</v>
      </c>
    </row>
    <row r="14" ht="22.5" customHeight="1" spans="1:7" x14ac:dyDescent="0.25">
      <c r="A14" s="1" t="s">
        <v>8</v>
      </c>
      <c r="B14" t="s">
        <v>48</v>
      </c>
      <c r="C14" s="4" t="s">
        <v>49</v>
      </c>
      <c r="D14" s="1"/>
      <c r="E14" s="1">
        <v>1</v>
      </c>
      <c r="F14" s="4" t="s">
        <v>13</v>
      </c>
      <c r="G14" s="5" t="s">
        <v>50</v>
      </c>
    </row>
    <row r="15" ht="22.5" customHeight="1" spans="1:7" x14ac:dyDescent="0.25">
      <c r="A15" s="1" t="s">
        <v>8</v>
      </c>
      <c r="B15" t="s">
        <v>51</v>
      </c>
      <c r="C15" s="4" t="s">
        <v>52</v>
      </c>
      <c r="D15" s="1"/>
      <c r="E15" s="1" t="s">
        <v>12</v>
      </c>
      <c r="F15" s="4" t="s">
        <v>13</v>
      </c>
      <c r="G15" s="5" t="s">
        <v>53</v>
      </c>
    </row>
    <row r="16" ht="22.5" customHeight="1" spans="1:7" x14ac:dyDescent="0.25">
      <c r="A16" s="1" t="s">
        <v>8</v>
      </c>
      <c r="B16" t="s">
        <v>54</v>
      </c>
      <c r="C16" s="4" t="s">
        <v>55</v>
      </c>
      <c r="D16" s="1"/>
      <c r="E16" s="1">
        <v>1</v>
      </c>
      <c r="F16" s="4" t="s">
        <v>25</v>
      </c>
      <c r="G16" s="5" t="s">
        <v>56</v>
      </c>
    </row>
    <row r="17" ht="22.5" customHeight="1" spans="1:7" x14ac:dyDescent="0.25">
      <c r="A17" s="1" t="s">
        <v>8</v>
      </c>
      <c r="B17" t="s">
        <v>57</v>
      </c>
      <c r="C17" s="4" t="s">
        <v>58</v>
      </c>
      <c r="D17" s="6"/>
      <c r="E17" s="1">
        <v>1</v>
      </c>
      <c r="F17" s="4" t="s">
        <v>13</v>
      </c>
      <c r="G17" s="5" t="s">
        <v>59</v>
      </c>
    </row>
    <row r="18" ht="22.5" customHeight="1" spans="1:7" x14ac:dyDescent="0.25">
      <c r="A18" s="1" t="s">
        <v>8</v>
      </c>
      <c r="B18" t="s">
        <v>60</v>
      </c>
      <c r="C18" s="4" t="s">
        <v>61</v>
      </c>
      <c r="D18" s="6"/>
      <c r="E18" s="1">
        <v>1</v>
      </c>
      <c r="F18" s="4" t="s">
        <v>13</v>
      </c>
      <c r="G18" s="5" t="s">
        <v>62</v>
      </c>
    </row>
    <row r="19" ht="22.5" customHeight="1" spans="1:7" x14ac:dyDescent="0.25">
      <c r="A19" s="1" t="s">
        <v>8</v>
      </c>
      <c r="B19" t="s">
        <v>63</v>
      </c>
      <c r="C19" s="4" t="s">
        <v>64</v>
      </c>
      <c r="D19" s="6"/>
      <c r="E19" s="1" t="s">
        <v>12</v>
      </c>
      <c r="F19" s="4" t="s">
        <v>13</v>
      </c>
      <c r="G19" s="5" t="s">
        <v>65</v>
      </c>
    </row>
    <row r="20" ht="22.5" customHeight="1" spans="1:7" x14ac:dyDescent="0.25">
      <c r="A20" s="1" t="s">
        <v>8</v>
      </c>
      <c r="B20" t="s">
        <v>66</v>
      </c>
      <c r="C20" s="4" t="s">
        <v>67</v>
      </c>
      <c r="D20" s="6"/>
      <c r="E20" s="1">
        <v>1</v>
      </c>
      <c r="F20" s="4" t="s">
        <v>13</v>
      </c>
      <c r="G20" s="5" t="s">
        <v>68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69</v>
      </c>
      <c r="D1" s="13" t="s">
        <v>70</v>
      </c>
      <c r="E1" s="3" t="s">
        <v>6</v>
      </c>
    </row>
    <row r="2" ht="22.5" customHeight="1" spans="1:5" x14ac:dyDescent="0.25">
      <c r="A2" s="1" t="s">
        <v>8</v>
      </c>
      <c r="B2" s="4" t="s">
        <v>71</v>
      </c>
      <c r="C2" s="5" t="s">
        <v>72</v>
      </c>
      <c r="D2" s="5" t="s">
        <v>73</v>
      </c>
      <c r="E2" s="5" t="s">
        <v>74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75</v>
      </c>
      <c r="D1" s="2" t="s">
        <v>76</v>
      </c>
    </row>
    <row r="2" ht="22.5" customHeight="1" spans="1:4" x14ac:dyDescent="0.25">
      <c r="A2" s="4" t="s">
        <v>8</v>
      </c>
      <c r="B2" s="4"/>
      <c r="C2" s="4" t="s">
        <v>77</v>
      </c>
      <c r="D2" s="4" t="s">
        <v>78</v>
      </c>
    </row>
    <row r="3" ht="22.5" customHeight="1" spans="1:4" x14ac:dyDescent="0.25">
      <c r="A3" s="4" t="s">
        <v>8</v>
      </c>
      <c r="C3" s="4"/>
      <c r="D3" s="4" t="s">
        <v>79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80</v>
      </c>
      <c r="B1" s="13" t="s">
        <v>81</v>
      </c>
      <c r="C1" s="13" t="s">
        <v>82</v>
      </c>
      <c r="D1" s="3" t="s">
        <v>6</v>
      </c>
      <c r="E1" s="3" t="s">
        <v>83</v>
      </c>
    </row>
    <row r="2" ht="38.86" customHeight="1" spans="1:5" x14ac:dyDescent="0.25">
      <c r="A2" s="5" t="s">
        <v>84</v>
      </c>
      <c r="B2" s="1" t="s">
        <v>8</v>
      </c>
      <c r="C2" s="1"/>
      <c r="D2" s="5" t="s">
        <v>85</v>
      </c>
      <c r="E2" s="5"/>
    </row>
    <row r="3" ht="38.86" customHeight="1" spans="1:5" x14ac:dyDescent="0.25">
      <c r="A3" s="5" t="s">
        <v>86</v>
      </c>
      <c r="B3" s="1" t="s">
        <v>15</v>
      </c>
      <c r="C3" s="1"/>
      <c r="D3" s="5" t="s">
        <v>87</v>
      </c>
      <c r="E3" s="14"/>
    </row>
    <row r="4" ht="38.86" customHeight="1" spans="1:5" x14ac:dyDescent="0.25">
      <c r="A4" s="5" t="s">
        <v>88</v>
      </c>
      <c r="B4" s="1" t="s">
        <v>8</v>
      </c>
      <c r="C4" s="1"/>
      <c r="D4" s="14"/>
      <c r="E4" s="14"/>
    </row>
    <row r="5" ht="38.86" customHeight="1" spans="1:5" x14ac:dyDescent="0.25">
      <c r="A5" s="5" t="s">
        <v>89</v>
      </c>
      <c r="B5" s="1" t="s">
        <v>8</v>
      </c>
      <c r="C5" s="1"/>
      <c r="D5" s="5" t="s">
        <v>90</v>
      </c>
      <c r="E5" s="5"/>
    </row>
    <row r="6" ht="38.86" customHeight="1" spans="1:5" x14ac:dyDescent="0.25">
      <c r="A6" s="5" t="s">
        <v>91</v>
      </c>
      <c r="B6" s="1" t="s">
        <v>8</v>
      </c>
      <c r="C6" s="1" t="s">
        <v>15</v>
      </c>
      <c r="D6" s="5" t="s">
        <v>92</v>
      </c>
      <c r="E6" s="5"/>
    </row>
    <row r="7" ht="38.86" customHeight="1" spans="1:5" x14ac:dyDescent="0.25">
      <c r="A7" s="5" t="s">
        <v>93</v>
      </c>
      <c r="B7" s="1" t="s">
        <v>8</v>
      </c>
      <c r="C7" s="1" t="s">
        <v>15</v>
      </c>
      <c r="D7" s="5" t="s">
        <v>94</v>
      </c>
      <c r="E7" s="5"/>
    </row>
    <row r="8" ht="38.86" customHeight="1" spans="1:5" x14ac:dyDescent="0.25">
      <c r="A8" s="5" t="s">
        <v>95</v>
      </c>
      <c r="B8" s="1" t="s">
        <v>8</v>
      </c>
      <c r="C8" s="1" t="s">
        <v>15</v>
      </c>
      <c r="D8" s="5" t="s">
        <v>96</v>
      </c>
      <c r="E8" s="5"/>
    </row>
    <row r="9" ht="38.86" customHeight="1" spans="1:5" x14ac:dyDescent="0.25">
      <c r="A9" s="5" t="s">
        <v>97</v>
      </c>
      <c r="B9" s="1" t="s">
        <v>8</v>
      </c>
      <c r="C9" s="1"/>
      <c r="D9" s="5" t="s">
        <v>98</v>
      </c>
      <c r="E9" s="5"/>
    </row>
    <row r="10" ht="38.86" customHeight="1" spans="1:26" x14ac:dyDescent="0.25">
      <c r="A10" s="15" t="s">
        <v>99</v>
      </c>
      <c r="B10" s="1" t="s">
        <v>8</v>
      </c>
      <c r="C10" s="1"/>
      <c r="D10" s="15" t="s">
        <v>100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101</v>
      </c>
      <c r="B11" s="1" t="s">
        <v>8</v>
      </c>
      <c r="C11" s="1"/>
      <c r="D11" s="5" t="s">
        <v>102</v>
      </c>
      <c r="E11" s="5"/>
    </row>
    <row r="12" ht="38.86" customHeight="1" spans="1:5" x14ac:dyDescent="0.25">
      <c r="A12" s="5" t="s">
        <v>103</v>
      </c>
      <c r="B12" s="1" t="s">
        <v>8</v>
      </c>
      <c r="C12" s="1" t="s">
        <v>15</v>
      </c>
      <c r="D12" s="5" t="s">
        <v>104</v>
      </c>
      <c r="E12" s="5" t="s">
        <v>105</v>
      </c>
    </row>
    <row r="13" ht="38.86" customHeight="1" spans="1:5" x14ac:dyDescent="0.25">
      <c r="A13" s="5" t="s">
        <v>106</v>
      </c>
      <c r="B13" s="1" t="s">
        <v>8</v>
      </c>
      <c r="C13" s="1" t="s">
        <v>15</v>
      </c>
      <c r="D13" s="5" t="s">
        <v>104</v>
      </c>
      <c r="E13" s="5" t="s">
        <v>107</v>
      </c>
    </row>
    <row r="14" ht="38.86" customHeight="1" spans="1:5" x14ac:dyDescent="0.25">
      <c r="A14" s="5" t="s">
        <v>108</v>
      </c>
      <c r="B14" s="1" t="s">
        <v>8</v>
      </c>
      <c r="C14" s="1"/>
      <c r="D14" s="5" t="s">
        <v>109</v>
      </c>
      <c r="E14" s="5" t="s">
        <v>110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2" x14ac:dyDescent="0.25">
      <c r="A1" s="17" t="s">
        <v>0</v>
      </c>
      <c r="B1" s="3" t="s">
        <v>5</v>
      </c>
      <c r="C1" s="3" t="s">
        <v>111</v>
      </c>
      <c r="D1" s="3" t="s">
        <v>2</v>
      </c>
      <c r="E1" s="17" t="s">
        <v>112</v>
      </c>
      <c r="F1" s="17" t="s">
        <v>113</v>
      </c>
      <c r="G1" s="17" t="s">
        <v>114</v>
      </c>
      <c r="H1" s="18" t="s">
        <v>115</v>
      </c>
      <c r="I1" s="18" t="s">
        <v>116</v>
      </c>
      <c r="J1" s="18" t="s">
        <v>117</v>
      </c>
      <c r="K1" s="18" t="s">
        <v>118</v>
      </c>
      <c r="L1" s="19" t="s">
        <v>119</v>
      </c>
      <c r="M1" s="3" t="s">
        <v>83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 spans="1:12" x14ac:dyDescent="0.25">
      <c r="A2" s="1" t="s">
        <v>15</v>
      </c>
      <c r="B2" s="4" t="s">
        <v>120</v>
      </c>
      <c r="C2" s="1" t="s">
        <v>8</v>
      </c>
      <c r="D2" s="4" t="s">
        <v>121</v>
      </c>
      <c r="E2" s="1">
        <v>3</v>
      </c>
      <c r="F2" s="1">
        <v>5</v>
      </c>
      <c r="G2" s="1">
        <v>8</v>
      </c>
      <c r="H2" s="6"/>
      <c r="I2" s="1" t="s">
        <v>15</v>
      </c>
      <c r="J2" s="1"/>
      <c r="K2" s="1"/>
      <c r="L2" s="1">
        <v>0</v>
      </c>
    </row>
    <row r="3" ht="22.5" customHeight="1" spans="1:12" x14ac:dyDescent="0.25">
      <c r="A3" s="1" t="s">
        <v>15</v>
      </c>
      <c r="B3" s="4" t="s">
        <v>120</v>
      </c>
      <c r="C3" s="1" t="s">
        <v>8</v>
      </c>
      <c r="D3" s="4" t="s">
        <v>122</v>
      </c>
      <c r="E3" s="1">
        <v>4</v>
      </c>
      <c r="F3" s="1">
        <v>5</v>
      </c>
      <c r="G3" s="1">
        <v>10</v>
      </c>
      <c r="H3" s="1" t="s">
        <v>15</v>
      </c>
      <c r="I3" s="1" t="s">
        <v>15</v>
      </c>
      <c r="J3" s="1"/>
      <c r="K3" s="1"/>
      <c r="L3" s="1">
        <v>0</v>
      </c>
    </row>
    <row r="4" ht="22.5" customHeight="1" spans="1:12" x14ac:dyDescent="0.25">
      <c r="A4" s="1" t="s">
        <v>15</v>
      </c>
      <c r="B4" s="4" t="s">
        <v>120</v>
      </c>
      <c r="C4" s="1" t="s">
        <v>8</v>
      </c>
      <c r="D4" s="4" t="s">
        <v>123</v>
      </c>
      <c r="E4" s="1">
        <v>2</v>
      </c>
      <c r="F4" s="1">
        <v>4</v>
      </c>
      <c r="G4" s="1">
        <v>5</v>
      </c>
      <c r="H4" s="6"/>
      <c r="I4" s="1" t="s">
        <v>15</v>
      </c>
      <c r="J4" s="1" t="s">
        <v>15</v>
      </c>
      <c r="K4" s="1"/>
      <c r="L4" s="1">
        <v>1</v>
      </c>
    </row>
    <row r="5" ht="22.5" customHeight="1" spans="1:12" x14ac:dyDescent="0.25">
      <c r="A5" s="1" t="s">
        <v>15</v>
      </c>
      <c r="B5" s="4" t="s">
        <v>124</v>
      </c>
      <c r="C5" s="1" t="s">
        <v>8</v>
      </c>
      <c r="D5" s="4" t="s">
        <v>125</v>
      </c>
      <c r="E5" s="6"/>
      <c r="F5" s="6"/>
      <c r="G5" s="1">
        <v>2</v>
      </c>
      <c r="H5" s="6"/>
      <c r="I5" s="6"/>
      <c r="J5" s="1"/>
      <c r="K5" s="1"/>
      <c r="L5" s="1">
        <v>1</v>
      </c>
    </row>
    <row r="6" ht="22.5" customHeight="1" spans="1:13" x14ac:dyDescent="0.25">
      <c r="A6" s="1" t="s">
        <v>8</v>
      </c>
      <c r="B6" s="4" t="s">
        <v>124</v>
      </c>
      <c r="C6" s="1" t="s">
        <v>8</v>
      </c>
      <c r="D6" s="4" t="s">
        <v>126</v>
      </c>
      <c r="E6" s="6"/>
      <c r="F6" s="6"/>
      <c r="G6" s="1">
        <v>2</v>
      </c>
      <c r="H6" s="6"/>
      <c r="I6" s="6"/>
      <c r="J6" s="1"/>
      <c r="K6" s="1"/>
      <c r="L6" s="1">
        <v>0</v>
      </c>
      <c r="M6" s="20" t="str">
        <f>CONCATENATE(Objetos!B18)</f>
        <v>Saco de dormir</v>
      </c>
    </row>
    <row r="7" ht="22.5" customHeight="1" spans="1:12" x14ac:dyDescent="0.25">
      <c r="A7" s="1" t="s">
        <v>15</v>
      </c>
      <c r="B7" s="4" t="s">
        <v>124</v>
      </c>
      <c r="C7" s="1" t="s">
        <v>15</v>
      </c>
      <c r="D7" s="4" t="s">
        <v>127</v>
      </c>
      <c r="E7" s="6"/>
      <c r="F7" s="6"/>
      <c r="G7" s="1">
        <v>2</v>
      </c>
      <c r="H7" s="6"/>
      <c r="I7" s="6"/>
      <c r="J7" s="1"/>
      <c r="K7" s="1"/>
      <c r="L7" s="1">
        <v>1</v>
      </c>
    </row>
    <row r="8" ht="22.5" customHeight="1" spans="1:12" x14ac:dyDescent="0.25">
      <c r="A8" s="1" t="s">
        <v>15</v>
      </c>
      <c r="B8" s="4" t="s">
        <v>124</v>
      </c>
      <c r="C8" s="1" t="s">
        <v>8</v>
      </c>
      <c r="D8" s="4" t="s">
        <v>128</v>
      </c>
      <c r="E8" s="6"/>
      <c r="F8" s="6"/>
      <c r="G8" s="1">
        <v>3</v>
      </c>
      <c r="H8" s="6"/>
      <c r="I8" s="6"/>
      <c r="J8" s="1" t="s">
        <v>15</v>
      </c>
      <c r="K8" s="6"/>
      <c r="L8" s="1">
        <v>2</v>
      </c>
    </row>
    <row r="9" ht="22.5" customHeight="1" spans="1:12" x14ac:dyDescent="0.25">
      <c r="A9" s="1" t="s">
        <v>15</v>
      </c>
      <c r="B9" s="4" t="s">
        <v>120</v>
      </c>
      <c r="C9" s="1" t="s">
        <v>8</v>
      </c>
      <c r="D9" s="4" t="s">
        <v>129</v>
      </c>
      <c r="E9" s="1">
        <v>3</v>
      </c>
      <c r="F9" s="1">
        <v>3</v>
      </c>
      <c r="G9" s="1">
        <v>7</v>
      </c>
      <c r="H9" s="1" t="s">
        <v>15</v>
      </c>
      <c r="I9" s="6"/>
      <c r="J9" s="1"/>
      <c r="K9" s="1"/>
      <c r="L9" s="1">
        <v>0</v>
      </c>
    </row>
    <row r="10" ht="22.5" customHeight="1" spans="1:13" x14ac:dyDescent="0.25">
      <c r="A10" s="1" t="s">
        <v>15</v>
      </c>
      <c r="B10" s="4" t="s">
        <v>124</v>
      </c>
      <c r="C10" s="1" t="s">
        <v>15</v>
      </c>
      <c r="D10" s="4" t="s">
        <v>130</v>
      </c>
      <c r="E10" s="6"/>
      <c r="F10" s="6"/>
      <c r="G10" s="1">
        <v>2</v>
      </c>
      <c r="H10" s="6"/>
      <c r="I10" s="6"/>
      <c r="J10" s="1"/>
      <c r="K10" s="1"/>
      <c r="L10" s="1">
        <v>2</v>
      </c>
      <c r="M10" s="20" t="str">
        <f>CONCATENATE(Objetos!B10,", ",Objetos!B11)</f>
        <v>Pilas, Linterna</v>
      </c>
    </row>
    <row r="11" ht="22.5" customHeight="1" spans="1:13" x14ac:dyDescent="0.25">
      <c r="A11" s="1" t="s">
        <v>15</v>
      </c>
      <c r="B11" s="4" t="s">
        <v>124</v>
      </c>
      <c r="C11" s="1" t="s">
        <v>15</v>
      </c>
      <c r="D11" s="4" t="s">
        <v>131</v>
      </c>
      <c r="E11" s="6"/>
      <c r="F11" s="6"/>
      <c r="G11" s="1">
        <v>1</v>
      </c>
      <c r="H11" s="6"/>
      <c r="I11" s="6"/>
      <c r="J11" s="1"/>
      <c r="K11" s="1"/>
      <c r="L11" s="1">
        <v>0</v>
      </c>
      <c r="M11" s="20" t="str">
        <f>CONCATENATE(Objetos!B19,", ",Objetos!B18)</f>
        <v>Pico escalada, Saco de dormir</v>
      </c>
    </row>
    <row r="12" ht="22.5" customHeight="1" spans="1:13" x14ac:dyDescent="0.25">
      <c r="A12" s="1" t="s">
        <v>15</v>
      </c>
      <c r="B12" s="4" t="s">
        <v>124</v>
      </c>
      <c r="C12" s="1" t="s">
        <v>15</v>
      </c>
      <c r="D12" s="4" t="s">
        <v>132</v>
      </c>
      <c r="E12" s="6"/>
      <c r="F12" s="6"/>
      <c r="G12" s="1">
        <v>2</v>
      </c>
      <c r="H12" s="1" t="s">
        <v>15</v>
      </c>
      <c r="I12" s="1" t="s">
        <v>15</v>
      </c>
      <c r="J12" s="1"/>
      <c r="K12" s="1" t="s">
        <v>15</v>
      </c>
      <c r="L12" s="1">
        <v>1</v>
      </c>
      <c r="M12" s="20" t="str">
        <f>Objetos!B20</f>
        <v>Caña de pescar</v>
      </c>
    </row>
    <row r="13" ht="22.5" customHeight="1" spans="1:12" x14ac:dyDescent="0.25">
      <c r="A13" s="1" t="s">
        <v>8</v>
      </c>
      <c r="B13" s="4" t="s">
        <v>124</v>
      </c>
      <c r="C13" s="1" t="s">
        <v>8</v>
      </c>
      <c r="D13" s="4" t="s">
        <v>133</v>
      </c>
      <c r="E13" s="6"/>
      <c r="F13" s="6"/>
      <c r="G13" s="6"/>
      <c r="H13" s="6"/>
      <c r="I13" s="6"/>
      <c r="J13" s="6"/>
      <c r="K13" s="6"/>
      <c r="L13" s="6"/>
    </row>
    <row r="14" ht="22.5" customHeight="1" spans="1:13" x14ac:dyDescent="0.25">
      <c r="A14" s="1" t="s">
        <v>8</v>
      </c>
      <c r="B14" s="4" t="s">
        <v>124</v>
      </c>
      <c r="C14" s="1" t="s">
        <v>8</v>
      </c>
      <c r="D14" s="4" t="s">
        <v>134</v>
      </c>
      <c r="E14" s="6"/>
      <c r="F14" s="6"/>
      <c r="G14" s="1">
        <v>6</v>
      </c>
      <c r="H14" s="6"/>
      <c r="I14" s="1" t="s">
        <v>15</v>
      </c>
      <c r="J14" s="6"/>
      <c r="K14" s="6"/>
      <c r="L14" s="1">
        <v>2</v>
      </c>
      <c r="M14" s="4" t="s">
        <v>135</v>
      </c>
    </row>
    <row r="15" ht="22.5" customHeight="1" spans="1:13" x14ac:dyDescent="0.25">
      <c r="A15" s="1" t="s">
        <v>8</v>
      </c>
      <c r="B15" s="4" t="s">
        <v>120</v>
      </c>
      <c r="C15" s="1" t="s">
        <v>8</v>
      </c>
      <c r="D15" s="4" t="s">
        <v>136</v>
      </c>
      <c r="E15" s="1">
        <v>3</v>
      </c>
      <c r="F15" s="1">
        <v>6</v>
      </c>
      <c r="G15" s="1">
        <v>8</v>
      </c>
      <c r="H15" s="1" t="s">
        <v>15</v>
      </c>
      <c r="I15" s="1" t="s">
        <v>15</v>
      </c>
      <c r="J15" s="6"/>
      <c r="K15" s="6"/>
      <c r="L15" s="1">
        <v>0</v>
      </c>
      <c r="M15" s="4" t="s">
        <v>137</v>
      </c>
    </row>
    <row r="16" ht="22.5" customHeight="1" spans="1:13" x14ac:dyDescent="0.25">
      <c r="A16" s="1" t="s">
        <v>8</v>
      </c>
      <c r="B16" s="4" t="s">
        <v>124</v>
      </c>
      <c r="C16" s="1" t="s">
        <v>8</v>
      </c>
      <c r="D16" s="4" t="s">
        <v>138</v>
      </c>
      <c r="E16" s="6"/>
      <c r="F16" s="6"/>
      <c r="G16" s="1">
        <v>4</v>
      </c>
      <c r="H16" s="1" t="s">
        <v>15</v>
      </c>
      <c r="I16" s="6"/>
      <c r="J16" s="6"/>
      <c r="K16" s="1" t="s">
        <v>15</v>
      </c>
      <c r="L16" s="1">
        <v>1</v>
      </c>
      <c r="M16" s="4" t="s">
        <v>139</v>
      </c>
    </row>
    <row r="17" ht="22.5" customHeight="1" spans="1:13" x14ac:dyDescent="0.25">
      <c r="A17" s="1" t="s">
        <v>8</v>
      </c>
      <c r="B17" s="4" t="s">
        <v>124</v>
      </c>
      <c r="C17" s="1" t="s">
        <v>8</v>
      </c>
      <c r="D17" s="4" t="s">
        <v>140</v>
      </c>
      <c r="E17" s="6"/>
      <c r="F17" s="6"/>
      <c r="G17" s="1">
        <v>4</v>
      </c>
      <c r="H17" s="6"/>
      <c r="I17" s="1" t="s">
        <v>15</v>
      </c>
      <c r="J17" s="1" t="s">
        <v>15</v>
      </c>
      <c r="K17" s="6"/>
      <c r="L17" s="1">
        <v>1</v>
      </c>
      <c r="M17" s="4" t="s">
        <v>141</v>
      </c>
    </row>
    <row r="18" ht="22.5" customHeight="1" spans="1:13" x14ac:dyDescent="0.25">
      <c r="A18" s="1" t="s">
        <v>15</v>
      </c>
      <c r="B18" s="4" t="s">
        <v>124</v>
      </c>
      <c r="C18" s="1" t="s">
        <v>8</v>
      </c>
      <c r="D18" s="4" t="s">
        <v>142</v>
      </c>
      <c r="E18" s="6"/>
      <c r="F18" s="6"/>
      <c r="G18" s="1">
        <v>5</v>
      </c>
      <c r="H18" s="1" t="s">
        <v>15</v>
      </c>
      <c r="I18" s="6"/>
      <c r="J18" s="1" t="s">
        <v>15</v>
      </c>
      <c r="K18" s="6"/>
      <c r="L18" s="1">
        <v>2</v>
      </c>
      <c r="M18" s="20" t="str">
        <f>CONCATENATE(Objetos!B10,", ",Objetos!B22)</f>
        <v>Pilas, Radio</v>
      </c>
    </row>
    <row r="19" ht="22.5" customHeight="1" spans="1:13" x14ac:dyDescent="0.25">
      <c r="A19" s="1" t="s">
        <v>8</v>
      </c>
      <c r="B19" s="4" t="s">
        <v>124</v>
      </c>
      <c r="C19" s="1" t="s">
        <v>8</v>
      </c>
      <c r="D19" s="4" t="s">
        <v>143</v>
      </c>
      <c r="E19" s="6"/>
      <c r="F19" s="6"/>
      <c r="G19" s="1">
        <v>3</v>
      </c>
      <c r="H19" s="6"/>
      <c r="I19" s="6"/>
      <c r="J19" s="6"/>
      <c r="K19" s="1" t="s">
        <v>15</v>
      </c>
      <c r="L19" s="1">
        <v>1</v>
      </c>
      <c r="M19" s="4" t="s">
        <v>144</v>
      </c>
    </row>
    <row r="20" ht="15.75" customHeight="1" spans="1:12" x14ac:dyDescent="0.25">
      <c r="A20" s="7"/>
      <c r="E20" s="7"/>
      <c r="F20" s="7"/>
      <c r="G20" s="7"/>
      <c r="H20" s="7"/>
      <c r="I20" s="7"/>
      <c r="J20" s="7"/>
      <c r="K20" s="7"/>
      <c r="L20" s="7"/>
    </row>
    <row r="21" ht="15.75" customHeight="1" spans="1:12" x14ac:dyDescent="0.25">
      <c r="A21" s="7"/>
      <c r="E21" s="7"/>
      <c r="F21" s="7"/>
      <c r="G21" s="7"/>
      <c r="H21" s="7"/>
      <c r="I21" s="7"/>
      <c r="J21" s="7"/>
      <c r="K21" s="7"/>
      <c r="L21" s="7"/>
    </row>
    <row r="22" ht="15.75" customHeight="1" spans="1:7" x14ac:dyDescent="0.25">
      <c r="A22" s="9">
        <f>COUNTIF(Enclaves[Confirmado],"S")</f>
        <v>11</v>
      </c>
      <c r="B22" s="9">
        <f>COUNTA(Enclaves[Nombre])</f>
        <v>18</v>
      </c>
      <c r="C22" s="10"/>
      <c r="D22" s="11"/>
      <c r="E22" s="11"/>
      <c r="F22" s="9"/>
      <c r="G22" s="9"/>
    </row>
    <row r="23" ht="15.75" customHeight="1" spans="1:12" x14ac:dyDescent="0.25">
      <c r="A23" s="21">
        <f>_xlfn.COUNTIFS(Enclaves[Confirmado],"S",Enclaves[Tipo],C23)</f>
        <v>4</v>
      </c>
      <c r="B23" s="21">
        <f>COUNTIF(Enclaves[Tipo],C23)</f>
        <v>5</v>
      </c>
      <c r="C23" s="22" t="s">
        <v>120</v>
      </c>
      <c r="E23" s="7"/>
      <c r="F23" s="7"/>
      <c r="G23" s="7"/>
      <c r="H23" s="7"/>
      <c r="I23" s="7"/>
      <c r="J23" s="7"/>
      <c r="K23" s="7"/>
      <c r="L23" s="7"/>
    </row>
    <row r="24" ht="15.75" customHeight="1" spans="1:12" x14ac:dyDescent="0.25">
      <c r="A24" s="21">
        <f>_xlfn.COUNTIFS(Enclaves[Confirmado],"S",Enclaves[Tipo],C24)</f>
        <v>7</v>
      </c>
      <c r="B24" s="21">
        <f>COUNTIF(Enclaves[Tipo],C24)</f>
        <v>13</v>
      </c>
      <c r="C24" s="22" t="s">
        <v>124</v>
      </c>
      <c r="E24" s="7"/>
      <c r="F24" s="7"/>
      <c r="G24" s="7"/>
      <c r="H24" s="7"/>
      <c r="I24" s="7"/>
      <c r="J24" s="7"/>
      <c r="K24" s="7"/>
      <c r="L24" s="7"/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145</v>
      </c>
      <c r="B1" s="2" t="s">
        <v>146</v>
      </c>
      <c r="C1" s="3" t="s">
        <v>147</v>
      </c>
      <c r="D1" s="1" t="s">
        <v>148</v>
      </c>
      <c r="E1" s="1" t="s">
        <v>149</v>
      </c>
      <c r="F1" s="23" t="s">
        <v>150</v>
      </c>
      <c r="G1" s="1" t="s">
        <v>151</v>
      </c>
      <c r="H1" t="s">
        <v>7</v>
      </c>
      <c r="I1" t="s">
        <v>152</v>
      </c>
      <c r="J1" t="s">
        <v>152</v>
      </c>
    </row>
    <row r="2" ht="22.5" customHeight="1" spans="1:8" x14ac:dyDescent="0.25">
      <c r="A2" s="1" t="s">
        <v>15</v>
      </c>
      <c r="B2" s="4" t="s">
        <v>153</v>
      </c>
      <c r="C2" s="14" t="s">
        <v>154</v>
      </c>
      <c r="D2" s="6" t="s">
        <v>154</v>
      </c>
      <c r="E2" s="6" t="s">
        <v>154</v>
      </c>
      <c r="F2" s="1" t="s">
        <v>154</v>
      </c>
      <c r="G2" s="1" t="s">
        <v>155</v>
      </c>
      <c r="H2" t="s">
        <v>156</v>
      </c>
    </row>
    <row r="3" ht="22.5" customHeight="1" spans="1:8" x14ac:dyDescent="0.25">
      <c r="A3" s="1" t="s">
        <v>15</v>
      </c>
      <c r="B3" s="4" t="s">
        <v>157</v>
      </c>
      <c r="C3" s="14" t="s">
        <v>154</v>
      </c>
      <c r="D3" s="6" t="s">
        <v>154</v>
      </c>
      <c r="E3" s="6" t="s">
        <v>154</v>
      </c>
      <c r="F3" s="1" t="s">
        <v>154</v>
      </c>
      <c r="G3" s="1" t="s">
        <v>158</v>
      </c>
      <c r="H3" t="s">
        <v>156</v>
      </c>
    </row>
    <row r="4" ht="22.5" customHeight="1" spans="1:8" x14ac:dyDescent="0.25">
      <c r="A4" s="1" t="s">
        <v>15</v>
      </c>
      <c r="B4" s="4" t="s">
        <v>159</v>
      </c>
      <c r="C4" s="14" t="s">
        <v>154</v>
      </c>
      <c r="D4" s="6" t="s">
        <v>154</v>
      </c>
      <c r="E4" s="6" t="s">
        <v>154</v>
      </c>
      <c r="F4" s="1" t="s">
        <v>154</v>
      </c>
      <c r="G4" s="1" t="s">
        <v>158</v>
      </c>
      <c r="H4" t="s">
        <v>15</v>
      </c>
    </row>
    <row r="5" ht="22.5" customHeight="1" spans="1:8" x14ac:dyDescent="0.25">
      <c r="A5" s="1" t="s">
        <v>15</v>
      </c>
      <c r="B5" s="4" t="s">
        <v>160</v>
      </c>
      <c r="C5" s="5" t="s">
        <v>161</v>
      </c>
      <c r="D5" s="1" t="s">
        <v>154</v>
      </c>
      <c r="E5" s="1" t="s">
        <v>162</v>
      </c>
      <c r="F5" s="4" t="s">
        <v>163</v>
      </c>
      <c r="G5" s="1" t="s">
        <v>154</v>
      </c>
      <c r="H5" t="s">
        <v>15</v>
      </c>
    </row>
    <row r="6" ht="22.5" customHeight="1" spans="1:8" x14ac:dyDescent="0.25">
      <c r="A6" s="1" t="s">
        <v>15</v>
      </c>
      <c r="B6" s="4" t="s">
        <v>164</v>
      </c>
      <c r="C6" s="14" t="s">
        <v>154</v>
      </c>
      <c r="D6" s="1" t="s">
        <v>162</v>
      </c>
      <c r="E6" s="6" t="s">
        <v>154</v>
      </c>
      <c r="F6" s="1" t="s">
        <v>154</v>
      </c>
      <c r="G6" s="1" t="s">
        <v>165</v>
      </c>
      <c r="H6" t="s">
        <v>15</v>
      </c>
    </row>
    <row r="7" ht="22.5" customHeight="1" spans="1:8" x14ac:dyDescent="0.25">
      <c r="A7" s="1" t="s">
        <v>15</v>
      </c>
      <c r="B7" s="4" t="s">
        <v>166</v>
      </c>
      <c r="C7" s="14" t="s">
        <v>154</v>
      </c>
      <c r="D7" s="1" t="s">
        <v>162</v>
      </c>
      <c r="E7" s="6" t="s">
        <v>154</v>
      </c>
      <c r="F7" s="1" t="s">
        <v>154</v>
      </c>
      <c r="G7" s="1" t="s">
        <v>158</v>
      </c>
      <c r="H7" t="s">
        <v>15</v>
      </c>
    </row>
    <row r="8" ht="22.5" customHeight="1" spans="1:8" x14ac:dyDescent="0.25">
      <c r="A8" s="1" t="s">
        <v>15</v>
      </c>
      <c r="B8" s="4" t="s">
        <v>167</v>
      </c>
      <c r="C8" s="14" t="s">
        <v>154</v>
      </c>
      <c r="D8" s="6" t="s">
        <v>154</v>
      </c>
      <c r="E8" s="6" t="s">
        <v>154</v>
      </c>
      <c r="F8" s="1" t="s">
        <v>154</v>
      </c>
      <c r="G8" s="1" t="s">
        <v>165</v>
      </c>
      <c r="H8" t="s">
        <v>15</v>
      </c>
    </row>
    <row r="9" ht="22.5" customHeight="1" spans="1:8" x14ac:dyDescent="0.25">
      <c r="A9" s="1" t="s">
        <v>15</v>
      </c>
      <c r="B9" s="4" t="s">
        <v>168</v>
      </c>
      <c r="C9" s="14" t="s">
        <v>154</v>
      </c>
      <c r="D9" s="1" t="s">
        <v>162</v>
      </c>
      <c r="E9" s="1" t="s">
        <v>162</v>
      </c>
      <c r="F9" s="4" t="s">
        <v>169</v>
      </c>
      <c r="G9" s="1" t="s">
        <v>154</v>
      </c>
      <c r="H9" t="s">
        <v>15</v>
      </c>
    </row>
    <row r="10" ht="22.5" customHeight="1" spans="1:8" x14ac:dyDescent="0.25">
      <c r="A10" s="1" t="s">
        <v>15</v>
      </c>
      <c r="B10" s="4" t="s">
        <v>170</v>
      </c>
      <c r="C10" s="14" t="s">
        <v>154</v>
      </c>
      <c r="D10" s="6" t="s">
        <v>154</v>
      </c>
      <c r="E10" s="6" t="s">
        <v>154</v>
      </c>
      <c r="F10" s="1" t="s">
        <v>154</v>
      </c>
      <c r="G10" s="1" t="s">
        <v>165</v>
      </c>
      <c r="H10" t="s">
        <v>15</v>
      </c>
    </row>
    <row r="11" ht="22.5" customHeight="1" spans="1:8" x14ac:dyDescent="0.25">
      <c r="A11" s="1" t="s">
        <v>15</v>
      </c>
      <c r="B11" s="4" t="s">
        <v>171</v>
      </c>
      <c r="C11" s="14" t="s">
        <v>154</v>
      </c>
      <c r="D11" s="6" t="s">
        <v>154</v>
      </c>
      <c r="E11" s="6" t="s">
        <v>154</v>
      </c>
      <c r="F11" s="1" t="s">
        <v>154</v>
      </c>
      <c r="G11" s="1" t="s">
        <v>158</v>
      </c>
      <c r="H11" t="s">
        <v>15</v>
      </c>
    </row>
    <row r="12" ht="22.5" customHeight="1" spans="1:8" x14ac:dyDescent="0.25">
      <c r="A12" s="1" t="s">
        <v>15</v>
      </c>
      <c r="B12" s="4" t="s">
        <v>172</v>
      </c>
      <c r="C12" s="5" t="s">
        <v>173</v>
      </c>
      <c r="D12" s="1" t="s">
        <v>162</v>
      </c>
      <c r="E12" s="6" t="s">
        <v>154</v>
      </c>
      <c r="F12" s="1" t="s">
        <v>154</v>
      </c>
      <c r="G12" s="1" t="s">
        <v>158</v>
      </c>
      <c r="H12" t="s">
        <v>15</v>
      </c>
    </row>
    <row r="13" ht="22.5" customHeight="1" spans="1:8" x14ac:dyDescent="0.25">
      <c r="A13" s="1" t="s">
        <v>15</v>
      </c>
      <c r="B13" s="4" t="s">
        <v>174</v>
      </c>
      <c r="C13" s="14" t="s">
        <v>154</v>
      </c>
      <c r="D13" s="6" t="s">
        <v>154</v>
      </c>
      <c r="E13" s="6" t="s">
        <v>154</v>
      </c>
      <c r="F13" s="1" t="s">
        <v>154</v>
      </c>
      <c r="G13" s="1" t="s">
        <v>175</v>
      </c>
      <c r="H13" t="s">
        <v>15</v>
      </c>
    </row>
    <row r="14" ht="22.5" customHeight="1" spans="1:8" x14ac:dyDescent="0.25">
      <c r="A14" s="1" t="s">
        <v>15</v>
      </c>
      <c r="B14" s="4" t="s">
        <v>176</v>
      </c>
      <c r="C14" s="14" t="s">
        <v>154</v>
      </c>
      <c r="D14" s="6" t="s">
        <v>154</v>
      </c>
      <c r="E14" s="6" t="s">
        <v>154</v>
      </c>
      <c r="F14" s="1" t="s">
        <v>154</v>
      </c>
      <c r="G14" s="1" t="s">
        <v>175</v>
      </c>
      <c r="H14" t="s">
        <v>15</v>
      </c>
    </row>
    <row r="15" ht="22.5" customHeight="1" spans="1:8" x14ac:dyDescent="0.25">
      <c r="A15" s="1" t="s">
        <v>15</v>
      </c>
      <c r="B15" s="4" t="s">
        <v>177</v>
      </c>
      <c r="C15" s="14" t="s">
        <v>154</v>
      </c>
      <c r="D15" s="6" t="s">
        <v>154</v>
      </c>
      <c r="E15" s="6" t="s">
        <v>154</v>
      </c>
      <c r="F15" s="1" t="s">
        <v>154</v>
      </c>
      <c r="G15" s="1" t="s">
        <v>158</v>
      </c>
      <c r="H15" t="s">
        <v>15</v>
      </c>
    </row>
    <row r="16" ht="22.5" customHeight="1" spans="1:8" x14ac:dyDescent="0.25">
      <c r="A16" s="1" t="s">
        <v>15</v>
      </c>
      <c r="B16" s="4" t="s">
        <v>178</v>
      </c>
      <c r="C16" s="14" t="s">
        <v>154</v>
      </c>
      <c r="D16" s="1" t="s">
        <v>162</v>
      </c>
      <c r="E16" s="6" t="s">
        <v>154</v>
      </c>
      <c r="F16" s="1" t="s">
        <v>154</v>
      </c>
      <c r="G16" s="1" t="s">
        <v>179</v>
      </c>
      <c r="H16" t="s">
        <v>15</v>
      </c>
    </row>
    <row r="17" ht="22.5" customHeight="1" spans="1:8" x14ac:dyDescent="0.25">
      <c r="A17" s="1" t="s">
        <v>15</v>
      </c>
      <c r="B17" s="4" t="s">
        <v>180</v>
      </c>
      <c r="C17" s="5" t="s">
        <v>181</v>
      </c>
      <c r="D17" s="1" t="s">
        <v>162</v>
      </c>
      <c r="E17" s="6" t="s">
        <v>154</v>
      </c>
      <c r="F17" s="1" t="s">
        <v>154</v>
      </c>
      <c r="G17" s="1" t="s">
        <v>165</v>
      </c>
      <c r="H17" t="s">
        <v>15</v>
      </c>
    </row>
    <row r="18" ht="22.5" customHeight="1" spans="1:8" x14ac:dyDescent="0.25">
      <c r="A18" s="1" t="s">
        <v>15</v>
      </c>
      <c r="B18" s="4" t="s">
        <v>182</v>
      </c>
      <c r="C18" s="5" t="s">
        <v>183</v>
      </c>
      <c r="D18" s="6" t="s">
        <v>154</v>
      </c>
      <c r="E18" s="6" t="s">
        <v>154</v>
      </c>
      <c r="F18" s="1" t="s">
        <v>154</v>
      </c>
      <c r="G18" s="1" t="s">
        <v>165</v>
      </c>
      <c r="H18" t="s">
        <v>15</v>
      </c>
    </row>
    <row r="19" ht="22.5" customHeight="1" spans="1:8" x14ac:dyDescent="0.25">
      <c r="A19" s="1" t="s">
        <v>15</v>
      </c>
      <c r="B19" s="4" t="s">
        <v>184</v>
      </c>
      <c r="C19" s="14" t="s">
        <v>154</v>
      </c>
      <c r="D19" s="6" t="s">
        <v>154</v>
      </c>
      <c r="E19" s="6" t="s">
        <v>154</v>
      </c>
      <c r="F19" s="1" t="s">
        <v>154</v>
      </c>
      <c r="G19" s="1" t="s">
        <v>179</v>
      </c>
      <c r="H19" t="s">
        <v>15</v>
      </c>
    </row>
    <row r="20" ht="22.5" customHeight="1" spans="1:8" x14ac:dyDescent="0.25">
      <c r="A20" s="1" t="s">
        <v>15</v>
      </c>
      <c r="B20" s="4" t="s">
        <v>185</v>
      </c>
      <c r="C20" s="14" t="s">
        <v>154</v>
      </c>
      <c r="D20" s="6" t="s">
        <v>154</v>
      </c>
      <c r="E20" s="1" t="s">
        <v>162</v>
      </c>
      <c r="F20" s="4" t="s">
        <v>186</v>
      </c>
      <c r="G20" s="1" t="s">
        <v>154</v>
      </c>
      <c r="H20" t="s">
        <v>15</v>
      </c>
    </row>
    <row r="21" ht="22.5" customHeight="1" spans="1:8" x14ac:dyDescent="0.25">
      <c r="A21" s="1" t="s">
        <v>15</v>
      </c>
      <c r="B21" s="4" t="s">
        <v>187</v>
      </c>
      <c r="C21" s="14" t="s">
        <v>154</v>
      </c>
      <c r="D21" s="6" t="s">
        <v>154</v>
      </c>
      <c r="E21" s="6" t="s">
        <v>154</v>
      </c>
      <c r="F21" s="1" t="s">
        <v>154</v>
      </c>
      <c r="G21" s="1" t="s">
        <v>165</v>
      </c>
      <c r="H21" t="s">
        <v>15</v>
      </c>
    </row>
    <row r="22" ht="22.5" customHeight="1" spans="1:8" x14ac:dyDescent="0.25">
      <c r="A22" s="1" t="s">
        <v>15</v>
      </c>
      <c r="B22" s="4" t="s">
        <v>188</v>
      </c>
      <c r="C22" s="5" t="s">
        <v>189</v>
      </c>
      <c r="D22" s="6" t="s">
        <v>154</v>
      </c>
      <c r="E22" s="1" t="s">
        <v>154</v>
      </c>
      <c r="F22" s="1" t="s">
        <v>154</v>
      </c>
      <c r="G22" s="1" t="s">
        <v>179</v>
      </c>
      <c r="H22" t="s">
        <v>15</v>
      </c>
    </row>
    <row r="23" ht="22.5" customHeight="1" spans="1:8" x14ac:dyDescent="0.25">
      <c r="A23" s="1" t="s">
        <v>15</v>
      </c>
      <c r="B23" s="4" t="s">
        <v>190</v>
      </c>
      <c r="C23" s="5" t="s">
        <v>154</v>
      </c>
      <c r="D23" s="6" t="s">
        <v>154</v>
      </c>
      <c r="E23" s="1" t="s">
        <v>154</v>
      </c>
      <c r="F23" s="1" t="s">
        <v>154</v>
      </c>
      <c r="G23" s="1" t="s">
        <v>179</v>
      </c>
      <c r="H23" t="s">
        <v>15</v>
      </c>
    </row>
    <row r="24" ht="15.75" customHeight="1" spans="1:7" x14ac:dyDescent="0.25">
      <c r="A24" s="7" t="s">
        <v>154</v>
      </c>
      <c r="C24" s="8" t="s">
        <v>154</v>
      </c>
      <c r="D24" s="7" t="s">
        <v>154</v>
      </c>
      <c r="E24" s="7" t="s">
        <v>154</v>
      </c>
      <c r="F24" s="7" t="s">
        <v>154</v>
      </c>
      <c r="G24" s="7" t="s">
        <v>154</v>
      </c>
    </row>
    <row r="25" ht="15.75" customHeight="1" spans="1:7" x14ac:dyDescent="0.25">
      <c r="A25" s="9" t="s">
        <v>191</v>
      </c>
      <c r="B25" s="9" t="s">
        <v>191</v>
      </c>
      <c r="C25" s="10" t="s">
        <v>154</v>
      </c>
      <c r="D25" s="11" t="s">
        <v>154</v>
      </c>
      <c r="E25" s="11" t="s">
        <v>154</v>
      </c>
      <c r="F25" s="9" t="s">
        <v>154</v>
      </c>
      <c r="G25" s="9" t="s">
        <v>192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